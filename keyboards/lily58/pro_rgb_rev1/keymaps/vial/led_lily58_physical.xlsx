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vial-qmk\keyboards\lily58\pro_rgb_rev1\keymaps\vial\"/>
    </mc:Choice>
  </mc:AlternateContent>
  <xr:revisionPtr revIDLastSave="0" documentId="8_{C0447258-AED7-4D57-838E-14B7DB330027}" xr6:coauthVersionLast="47" xr6:coauthVersionMax="47" xr10:uidLastSave="{00000000-0000-0000-0000-000000000000}"/>
  <bookViews>
    <workbookView xWindow="-120" yWindow="-16320" windowWidth="29040" windowHeight="16440" xr2:uid="{0C75C1CA-F73E-4373-960A-B686DF3BC34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1" l="1"/>
  <c r="K15" i="1"/>
  <c r="K14" i="1"/>
  <c r="J14" i="1"/>
  <c r="C18" i="1"/>
  <c r="K17" i="1"/>
  <c r="K16" i="1"/>
  <c r="J17" i="1"/>
  <c r="J16" i="1"/>
  <c r="J15" i="1"/>
  <c r="C17" i="1"/>
  <c r="C16" i="1"/>
  <c r="C15" i="1"/>
  <c r="C14" i="1"/>
  <c r="B17" i="1"/>
  <c r="B16" i="1"/>
  <c r="B15" i="1"/>
  <c r="B14" i="1"/>
  <c r="O9" i="1"/>
  <c r="N9" i="1"/>
  <c r="M9" i="1"/>
  <c r="L9" i="1"/>
  <c r="K9" i="1"/>
  <c r="J9" i="1"/>
  <c r="I9" i="1"/>
  <c r="H9" i="1"/>
  <c r="G9" i="1"/>
  <c r="F9" i="1"/>
  <c r="E9" i="1"/>
  <c r="D9" i="1"/>
  <c r="C9" i="1"/>
  <c r="O8" i="1"/>
  <c r="N8" i="1"/>
  <c r="M8" i="1"/>
  <c r="L8" i="1"/>
  <c r="K8" i="1"/>
  <c r="J8" i="1"/>
  <c r="I8" i="1"/>
  <c r="H8" i="1"/>
  <c r="G8" i="1"/>
  <c r="F8" i="1"/>
  <c r="E8" i="1"/>
  <c r="D8" i="1"/>
  <c r="C8" i="1"/>
  <c r="O7" i="1"/>
  <c r="N7" i="1"/>
  <c r="M7" i="1"/>
  <c r="L7" i="1"/>
  <c r="K7" i="1"/>
  <c r="J7" i="1"/>
  <c r="I7" i="1"/>
  <c r="H7" i="1"/>
  <c r="G7" i="1"/>
  <c r="F7" i="1"/>
  <c r="E7" i="1"/>
  <c r="D7" i="1"/>
  <c r="C7" i="1"/>
  <c r="O6" i="1"/>
  <c r="N6" i="1"/>
  <c r="M6" i="1"/>
  <c r="L6" i="1"/>
  <c r="K6" i="1"/>
  <c r="J6" i="1"/>
  <c r="I6" i="1"/>
  <c r="H6" i="1"/>
  <c r="G6" i="1"/>
  <c r="F6" i="1"/>
  <c r="E6" i="1"/>
  <c r="D6" i="1"/>
  <c r="C6" i="1"/>
  <c r="O5" i="1"/>
  <c r="N5" i="1"/>
  <c r="M5" i="1"/>
  <c r="L5" i="1"/>
  <c r="K5" i="1"/>
  <c r="J5" i="1"/>
  <c r="I5" i="1"/>
  <c r="H5" i="1"/>
  <c r="G5" i="1"/>
  <c r="F5" i="1"/>
  <c r="E5" i="1"/>
  <c r="D5" i="1"/>
  <c r="C5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<sst xmlns="http://schemas.openxmlformats.org/spreadsheetml/2006/main" count="18" uniqueCount="16">
  <si>
    <t>,</t>
  </si>
  <si>
    <t>ORDER</t>
  </si>
  <si>
    <t>REVERSE</t>
  </si>
  <si>
    <t>{17,8}</t>
  </si>
  <si>
    <t>{17,40}</t>
  </si>
  <si>
    <t>{51,8}</t>
  </si>
  <si>
    <t>{86,8}</t>
  </si>
  <si>
    <t>{51,48}</t>
  </si>
  <si>
    <t>{86,48}</t>
  </si>
  <si>
    <t>{137,8}</t>
  </si>
  <si>
    <t>{172,8}</t>
  </si>
  <si>
    <t>{206,8}</t>
  </si>
  <si>
    <t>{137,48}</t>
  </si>
  <si>
    <t>{172,48}</t>
  </si>
  <si>
    <t>{206,40}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</si>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</sst>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A392-3604-41F2-A829-7145CECFC792}">
  <dimension ref="A2:W18"/>
  <sheetViews>
    <sheetView tabSelected="1" workbookViewId="0">
      <selection activeCell="K16" sqref="K16"/>
    </sheetView>
  </sheetViews>
  <sheetFormatPr baseColWidth="10" defaultRowHeight="15" x14ac:dyDescent="0.25"/>
  <cols>
    <col min="2" max="2" width="12" customWidth="1"/>
  </cols>
  <sheetData>
    <row r="2" spans="1:23" x14ac:dyDescent="0.25">
      <c r="B2">
        <v>14</v>
      </c>
      <c r="C2">
        <v>5</v>
      </c>
    </row>
    <row r="4" spans="1:23" x14ac:dyDescent="0.25"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>
        <v>11</v>
      </c>
      <c r="M4">
        <v>12</v>
      </c>
      <c r="N4">
        <v>13</v>
      </c>
      <c r="O4">
        <v>14</v>
      </c>
    </row>
    <row r="5" spans="1:23" x14ac:dyDescent="0.25">
      <c r="A5">
        <v>1</v>
      </c>
      <c r="B5" s="2" t="str">
        <f xml:space="preserve"> "{" &amp; INT(224 / ($B$2 -1) * (B$4 - 1)) &amp; ", " &amp; INT(64 / ($C$2 -1) * ($A5 -1)) &amp; "}"</f>
        <v>{0, 0}</v>
      </c>
      <c r="C5" s="2" t="str">
        <f t="shared" ref="C5:O9" si="0" xml:space="preserve"> "{" &amp; INT(224 / ($B$2 -1) * (C$4 - 1)) &amp; ", " &amp; INT(64 / ($C$2 -1) * ($A5 -1)) &amp; "}"</f>
        <v>{17, 0}</v>
      </c>
      <c r="D5" s="2" t="str">
        <f t="shared" si="0"/>
        <v>{34, 0}</v>
      </c>
      <c r="E5" s="2" t="str">
        <f t="shared" si="0"/>
        <v>{51, 0}</v>
      </c>
      <c r="F5" s="2" t="str">
        <f t="shared" si="0"/>
        <v>{68, 0}</v>
      </c>
      <c r="G5" s="2" t="str">
        <f t="shared" si="0"/>
        <v>{86, 0}</v>
      </c>
      <c r="H5" s="3" t="str">
        <f t="shared" si="0"/>
        <v>{103, 0}</v>
      </c>
      <c r="I5" s="3" t="str">
        <f t="shared" si="0"/>
        <v>{120, 0}</v>
      </c>
      <c r="J5" s="4" t="str">
        <f t="shared" si="0"/>
        <v>{137, 0}</v>
      </c>
      <c r="K5" s="4" t="str">
        <f t="shared" si="0"/>
        <v>{155, 0}</v>
      </c>
      <c r="L5" s="4" t="str">
        <f t="shared" si="0"/>
        <v>{172, 0}</v>
      </c>
      <c r="M5" s="4" t="str">
        <f t="shared" si="0"/>
        <v>{189, 0}</v>
      </c>
      <c r="N5" s="4" t="str">
        <f t="shared" si="0"/>
        <v>{206, 0}</v>
      </c>
      <c r="O5" s="4" t="str">
        <f t="shared" si="0"/>
        <v>{224, 0}</v>
      </c>
    </row>
    <row r="6" spans="1:23" x14ac:dyDescent="0.25">
      <c r="A6">
        <v>2</v>
      </c>
      <c r="B6" s="2" t="str">
        <f t="shared" ref="B6:B9" si="1" xml:space="preserve"> "{" &amp; INT(224 / ($B$2 -1) * (B$4 - 1)) &amp; ", " &amp; INT(64 / ($C$2 -1) * ($A6 -1)) &amp; "}"</f>
        <v>{0, 16}</v>
      </c>
      <c r="C6" s="2" t="str">
        <f t="shared" si="0"/>
        <v>{17, 16}</v>
      </c>
      <c r="D6" s="2" t="str">
        <f t="shared" si="0"/>
        <v>{34, 16}</v>
      </c>
      <c r="E6" s="2" t="str">
        <f t="shared" si="0"/>
        <v>{51, 16}</v>
      </c>
      <c r="F6" s="2" t="str">
        <f t="shared" si="0"/>
        <v>{68, 16}</v>
      </c>
      <c r="G6" s="2" t="str">
        <f t="shared" si="0"/>
        <v>{86, 16}</v>
      </c>
      <c r="H6" s="3" t="str">
        <f t="shared" si="0"/>
        <v>{103, 16}</v>
      </c>
      <c r="I6" s="3" t="str">
        <f t="shared" si="0"/>
        <v>{120, 16}</v>
      </c>
      <c r="J6" s="4" t="str">
        <f t="shared" si="0"/>
        <v>{137, 16}</v>
      </c>
      <c r="K6" s="4" t="str">
        <f t="shared" si="0"/>
        <v>{155, 16}</v>
      </c>
      <c r="L6" s="4" t="str">
        <f t="shared" si="0"/>
        <v>{172, 16}</v>
      </c>
      <c r="M6" s="4" t="str">
        <f t="shared" si="0"/>
        <v>{189, 16}</v>
      </c>
      <c r="N6" s="4" t="str">
        <f t="shared" si="0"/>
        <v>{206, 16}</v>
      </c>
      <c r="O6" s="4" t="str">
        <f t="shared" si="0"/>
        <v>{224, 16}</v>
      </c>
      <c r="Q6" t="s">
        <v>3</v>
      </c>
      <c r="R6" t="s">
        <v>5</v>
      </c>
      <c r="S6" t="s">
        <v>6</v>
      </c>
      <c r="U6" t="s">
        <v>9</v>
      </c>
      <c r="V6" t="s">
        <v>10</v>
      </c>
      <c r="W6" t="s">
        <v>11</v>
      </c>
    </row>
    <row r="7" spans="1:23" x14ac:dyDescent="0.25">
      <c r="A7">
        <v>3</v>
      </c>
      <c r="B7" s="2" t="str">
        <f t="shared" si="1"/>
        <v>{0, 32}</v>
      </c>
      <c r="C7" s="2" t="str">
        <f t="shared" si="0"/>
        <v>{17, 32}</v>
      </c>
      <c r="D7" s="2" t="str">
        <f t="shared" si="0"/>
        <v>{34, 32}</v>
      </c>
      <c r="E7" s="2" t="str">
        <f t="shared" si="0"/>
        <v>{51, 32}</v>
      </c>
      <c r="F7" s="2" t="str">
        <f t="shared" si="0"/>
        <v>{68, 32}</v>
      </c>
      <c r="G7" s="2" t="str">
        <f t="shared" si="0"/>
        <v>{86, 32}</v>
      </c>
      <c r="H7" s="3" t="str">
        <f t="shared" si="0"/>
        <v>{103, 32}</v>
      </c>
      <c r="I7" s="3" t="str">
        <f t="shared" si="0"/>
        <v>{120, 32}</v>
      </c>
      <c r="J7" s="4" t="str">
        <f t="shared" si="0"/>
        <v>{137, 32}</v>
      </c>
      <c r="K7" s="4" t="str">
        <f t="shared" si="0"/>
        <v>{155, 32}</v>
      </c>
      <c r="L7" s="4" t="str">
        <f t="shared" si="0"/>
        <v>{172, 32}</v>
      </c>
      <c r="M7" s="4" t="str">
        <f t="shared" si="0"/>
        <v>{189, 32}</v>
      </c>
      <c r="N7" s="4" t="str">
        <f t="shared" si="0"/>
        <v>{206, 32}</v>
      </c>
      <c r="O7" s="4" t="str">
        <f t="shared" si="0"/>
        <v>{224, 32}</v>
      </c>
    </row>
    <row r="8" spans="1:23" x14ac:dyDescent="0.25">
      <c r="A8">
        <v>4</v>
      </c>
      <c r="B8" s="2" t="str">
        <f t="shared" si="1"/>
        <v>{0, 48}</v>
      </c>
      <c r="C8" s="2" t="str">
        <f t="shared" si="0"/>
        <v>{17, 48}</v>
      </c>
      <c r="D8" s="2" t="str">
        <f t="shared" si="0"/>
        <v>{34, 48}</v>
      </c>
      <c r="E8" s="2" t="str">
        <f t="shared" si="0"/>
        <v>{51, 48}</v>
      </c>
      <c r="F8" s="2" t="str">
        <f t="shared" si="0"/>
        <v>{68, 48}</v>
      </c>
      <c r="G8" s="2" t="str">
        <f t="shared" si="0"/>
        <v>{86, 48}</v>
      </c>
      <c r="H8" s="5" t="str">
        <f t="shared" si="0"/>
        <v>{103, 48}</v>
      </c>
      <c r="I8" s="6" t="str">
        <f t="shared" si="0"/>
        <v>{120, 48}</v>
      </c>
      <c r="J8" s="4" t="str">
        <f t="shared" si="0"/>
        <v>{137, 48}</v>
      </c>
      <c r="K8" s="4" t="str">
        <f t="shared" si="0"/>
        <v>{155, 48}</v>
      </c>
      <c r="L8" s="4" t="str">
        <f t="shared" si="0"/>
        <v>{172, 48}</v>
      </c>
      <c r="M8" s="4" t="str">
        <f t="shared" si="0"/>
        <v>{189, 48}</v>
      </c>
      <c r="N8" s="4" t="str">
        <f t="shared" si="0"/>
        <v>{206, 48}</v>
      </c>
      <c r="O8" s="4" t="str">
        <f t="shared" si="0"/>
        <v>{224, 48}</v>
      </c>
      <c r="Q8" t="s">
        <v>4</v>
      </c>
      <c r="R8" t="s">
        <v>7</v>
      </c>
      <c r="S8" t="s">
        <v>8</v>
      </c>
      <c r="U8" t="s">
        <v>12</v>
      </c>
      <c r="V8" t="s">
        <v>13</v>
      </c>
      <c r="W8" t="s">
        <v>14</v>
      </c>
    </row>
    <row r="9" spans="1:23" x14ac:dyDescent="0.25">
      <c r="A9">
        <v>5</v>
      </c>
      <c r="B9" s="3" t="str">
        <f t="shared" si="1"/>
        <v>{0, 64}</v>
      </c>
      <c r="C9" s="3" t="str">
        <f t="shared" si="0"/>
        <v>{17, 64}</v>
      </c>
      <c r="D9" s="3" t="str">
        <f t="shared" si="0"/>
        <v>{34, 64}</v>
      </c>
      <c r="E9" s="7" t="str">
        <f t="shared" si="0"/>
        <v>{51, 64}</v>
      </c>
      <c r="F9" s="7" t="str">
        <f t="shared" si="0"/>
        <v>{68, 64}</v>
      </c>
      <c r="G9" s="7" t="str">
        <f t="shared" si="0"/>
        <v>{86, 64}</v>
      </c>
      <c r="H9" s="5" t="str">
        <f t="shared" si="0"/>
        <v>{103, 64}</v>
      </c>
      <c r="I9" s="6" t="str">
        <f t="shared" si="0"/>
        <v>{120, 64}</v>
      </c>
      <c r="J9" s="6" t="str">
        <f t="shared" si="0"/>
        <v>{137, 64}</v>
      </c>
      <c r="K9" s="6" t="str">
        <f t="shared" si="0"/>
        <v>{155, 64}</v>
      </c>
      <c r="L9" s="6" t="str">
        <f t="shared" si="0"/>
        <v>{172, 64}</v>
      </c>
      <c r="M9" s="3" t="str">
        <f t="shared" si="0"/>
        <v>{189, 64}</v>
      </c>
      <c r="N9" s="3" t="str">
        <f t="shared" si="0"/>
        <v>{206, 64}</v>
      </c>
      <c r="O9" s="3" t="str">
        <f t="shared" si="0"/>
        <v>{224, 64}</v>
      </c>
    </row>
    <row r="13" spans="1:23" x14ac:dyDescent="0.25">
      <c r="B13" s="1" t="s">
        <v>1</v>
      </c>
      <c r="C13" s="1" t="s">
        <v>2</v>
      </c>
      <c r="J13" s="1" t="s">
        <v>1</v>
      </c>
      <c r="K13" s="1" t="s">
        <v>2</v>
      </c>
    </row>
    <row r="14" spans="1:23" ht="90" x14ac:dyDescent="0.25">
      <c r="A14" t="s">
        <v>0</v>
      </c>
      <c r="B14" s="1" t="str">
        <f xml:space="preserve"> $B5 &amp; "," &amp; $C5 &amp; "," &amp; $D5 &amp; "," &amp; $E5 &amp; "," &amp; $F5 &amp; "," &amp; $G5 &amp; ","</f>
        <v>{0, 0},{17, 0},{34, 0},{51, 0},{68, 0},{86, 0},</v>
      </c>
      <c r="C14" s="8" t="str">
        <f xml:space="preserve"> $G5 &amp; "," &amp; $F5 &amp; "," &amp; $E5 &amp; "," &amp; $D5 &amp; "," &amp; $C5 &amp; "," &amp; $B5 &amp; ","</f>
        <v>{86, 0},{68, 0},{51, 0},{34, 0},{17, 0},{0, 0},</v>
      </c>
      <c r="J14" s="1" t="str">
        <f xml:space="preserve"> $J5 &amp; "," &amp; $K5 &amp; "," &amp; $L5 &amp; "," &amp; $M5 &amp; "," &amp; $N5 &amp; "," &amp; $O5 &amp; ","</f>
        <v>{137, 0},{155, 0},{172, 0},{189, 0},{206, 0},{224, 0},</v>
      </c>
      <c r="K14" s="8" t="str">
        <f xml:space="preserve"> $O5 &amp; "," &amp; $N5 &amp; "," &amp; $M5 &amp; "," &amp; $L5 &amp; "," &amp; $K5 &amp; "," &amp; $J5 &amp; ","</f>
        <v>{224, 0},{206, 0},{189, 0},{172, 0},{155, 0},{137, 0},</v>
      </c>
      <c r="R14" t="s">
        <v>15</v>
      </c>
    </row>
    <row r="15" spans="1:23" ht="105" x14ac:dyDescent="0.25">
      <c r="B15" s="8" t="str">
        <f t="shared" ref="B15:B17" si="2" xml:space="preserve"> $B6 &amp; "," &amp; $C6 &amp; "," &amp; $D6 &amp; "," &amp; $E6 &amp; "," &amp; $F6 &amp; "," &amp; $G6 &amp; ","</f>
        <v>{0, 16},{17, 16},{34, 16},{51, 16},{68, 16},{86, 16},</v>
      </c>
      <c r="C15" s="1" t="str">
        <f t="shared" ref="C15:C16" si="3" xml:space="preserve"> $G6 &amp; "," &amp; $F6 &amp; "," &amp; $E6 &amp; "," &amp; $D6 &amp; "," &amp; $C6 &amp; "," &amp; $B6 &amp; ","</f>
        <v>{86, 16},{68, 16},{51, 16},{34, 16},{17, 16},{0, 16},</v>
      </c>
      <c r="J15" s="8" t="str">
        <f xml:space="preserve"> $J6 &amp; "," &amp; $K6 &amp; "," &amp; $L6 &amp; "," &amp; $M6 &amp; "," &amp; $N6 &amp; "," &amp; $O6 &amp; ","</f>
        <v>{137, 16},{155, 16},{172, 16},{189, 16},{206, 16},{224, 16},</v>
      </c>
      <c r="K15" s="1" t="str">
        <f xml:space="preserve"> $O6 &amp; "," &amp; $N6 &amp; "," &amp; $M6 &amp; "," &amp; $L6 &amp; "," &amp; $K6 &amp; "," &amp; $J6 &amp; ","</f>
        <v>{224, 16},{206, 16},{189, 16},{172, 16},{155, 16},{137, 16},</v>
      </c>
    </row>
    <row r="16" spans="1:23" ht="105" x14ac:dyDescent="0.25">
      <c r="B16" s="1" t="str">
        <f t="shared" si="2"/>
        <v>{0, 32},{17, 32},{34, 32},{51, 32},{68, 32},{86, 32},</v>
      </c>
      <c r="C16" s="8" t="str">
        <f t="shared" si="3"/>
        <v>{86, 32},{68, 32},{51, 32},{34, 32},{17, 32},{0, 32},</v>
      </c>
      <c r="J16" s="1" t="str">
        <f xml:space="preserve"> $J7 &amp; "," &amp; $K7 &amp; "," &amp; $L7 &amp; "," &amp; $M7 &amp; "," &amp; $N7 &amp; "," &amp; $O7 &amp; ","</f>
        <v>{137, 32},{155, 32},{172, 32},{189, 32},{206, 32},{224, 32},</v>
      </c>
      <c r="K16" s="8" t="str">
        <f t="shared" ref="K15:K17" si="4" xml:space="preserve"> $O7 &amp; "," &amp; $N7 &amp; "," &amp; $M7 &amp; "," &amp; $L7 &amp; "," &amp; $K7 &amp; "," &amp; $J7 &amp; ","</f>
        <v>{224, 32},{206, 32},{189, 32},{172, 32},{155, 32},{137, 32},</v>
      </c>
    </row>
    <row r="17" spans="2:11" ht="105" x14ac:dyDescent="0.25">
      <c r="B17" s="8" t="str">
        <f t="shared" si="2"/>
        <v>{0, 48},{17, 48},{34, 48},{51, 48},{68, 48},{86, 48},</v>
      </c>
      <c r="C17" s="1" t="str">
        <f xml:space="preserve"> $G8 &amp; "," &amp; $F8 &amp; "," &amp; $E8 &amp; "," &amp; $D8 &amp; "," &amp; $C8 &amp; "," &amp; $B8 &amp; ","</f>
        <v>{86, 48},{68, 48},{51, 48},{34, 48},{17, 48},{0, 48},</v>
      </c>
      <c r="J17" s="8" t="str">
        <f xml:space="preserve"> $J8 &amp; "," &amp; $K8 &amp; "," &amp; $L8 &amp; "," &amp; $M8 &amp; "," &amp; $N8 &amp; "," &amp; $O8 &amp; ","</f>
        <v>{137, 48},{155, 48},{172, 48},{189, 48},{206, 48},{224, 48},</v>
      </c>
      <c r="K17" s="1" t="str">
        <f t="shared" si="4"/>
        <v>{224, 48},{206, 48},{189, 48},{172, 48},{155, 48},{137, 48},</v>
      </c>
    </row>
    <row r="18" spans="2:11" ht="75" x14ac:dyDescent="0.25">
      <c r="C18" s="8" t="str">
        <f xml:space="preserve"> H8 &amp; "," &amp; H9 &amp; "," &amp; G9 &amp; "," &amp; F9 &amp; "," &amp; E9 &amp; ","</f>
        <v>{103, 48},{103, 64},{86, 64},{68, 64},{51, 64},</v>
      </c>
      <c r="J18" s="1"/>
      <c r="K18" s="9" t="str">
        <f>$L$9 &amp; "," &amp; $K$9 &amp; "," &amp; $J$9 &amp; "," &amp; $I$9 &amp; "," &amp; $I$8</f>
        <v>{172, 64},{155, 64},{137, 64},{120, 64},{120, 48}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Duthieuw</dc:creator>
  <cp:lastModifiedBy>Maurice Duthieuw</cp:lastModifiedBy>
  <dcterms:created xsi:type="dcterms:W3CDTF">2025-05-27T14:15:48Z</dcterms:created>
  <dcterms:modified xsi:type="dcterms:W3CDTF">2025-05-30T16:37:49Z</dcterms:modified>
</cp:coreProperties>
</file>